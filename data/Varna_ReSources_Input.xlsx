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etermarshall/Desktop/Github/data/"/>
    </mc:Choice>
  </mc:AlternateContent>
  <xr:revisionPtr revIDLastSave="0" documentId="13_ncr:1_{03689EE4-8E3B-1F47-998F-553256ED8125}" xr6:coauthVersionLast="47" xr6:coauthVersionMax="47" xr10:uidLastSave="{00000000-0000-0000-0000-000000000000}"/>
  <bookViews>
    <workbookView xWindow="3180" yWindow="4060" windowWidth="23040" windowHeight="12460" tabRatio="500" activeTab="4" xr2:uid="{00000000-000D-0000-FFFF-FFFF00000000}"/>
  </bookViews>
  <sheets>
    <sheet name="consumer" sheetId="1" r:id="rId1"/>
    <sheet name="covariate" sheetId="2" r:id="rId2"/>
    <sheet name="offset" sheetId="3" r:id="rId3"/>
    <sheet name="source_data" sheetId="4" r:id="rId4"/>
    <sheet name="source_isotopic" sheetId="5" r:id="rId5"/>
    <sheet name="components" sheetId="6" r:id="rId6"/>
    <sheet name="concentra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5" l="1"/>
  <c r="J5" i="5"/>
  <c r="J3" i="5"/>
  <c r="E4" i="5"/>
  <c r="E5" i="5"/>
  <c r="E3" i="5"/>
  <c r="C4" i="5"/>
  <c r="C5" i="5"/>
  <c r="C3" i="5"/>
  <c r="B3" i="5"/>
  <c r="B4" i="5"/>
  <c r="I5" i="5"/>
  <c r="I4" i="5"/>
  <c r="I3" i="5"/>
  <c r="D5" i="5"/>
  <c r="B5" i="5"/>
  <c r="D4" i="5"/>
  <c r="D3" i="5"/>
</calcChain>
</file>

<file path=xl/sharedStrings.xml><?xml version="1.0" encoding="utf-8"?>
<sst xmlns="http://schemas.openxmlformats.org/spreadsheetml/2006/main" count="218" uniqueCount="78">
  <si>
    <t>d13C</t>
  </si>
  <si>
    <t>d15N</t>
  </si>
  <si>
    <t>Offset</t>
  </si>
  <si>
    <t>TV</t>
  </si>
  <si>
    <t>Sources: carbon</t>
  </si>
  <si>
    <t>Sources: nitrogen</t>
  </si>
  <si>
    <t>protein||mean</t>
  </si>
  <si>
    <t>protein||uncert</t>
  </si>
  <si>
    <t>carbs/lipids||mean</t>
  </si>
  <si>
    <t>carbs/lipids||uncert</t>
  </si>
  <si>
    <t>Grave10</t>
  </si>
  <si>
    <t>Grave11</t>
  </si>
  <si>
    <t>Grave25</t>
  </si>
  <si>
    <t>Grave28</t>
  </si>
  <si>
    <t>Grave30</t>
  </si>
  <si>
    <t>Grave32</t>
  </si>
  <si>
    <t>Grave34</t>
  </si>
  <si>
    <t>Grave43</t>
  </si>
  <si>
    <t>Grave44</t>
  </si>
  <si>
    <t>Grave45</t>
  </si>
  <si>
    <t>Grave46</t>
  </si>
  <si>
    <t>Grave47</t>
  </si>
  <si>
    <t>Grave50</t>
  </si>
  <si>
    <t>Grave51</t>
  </si>
  <si>
    <t>Grave67</t>
  </si>
  <si>
    <t>Grave69</t>
  </si>
  <si>
    <t>Grave72</t>
  </si>
  <si>
    <t>Grave78</t>
  </si>
  <si>
    <t>Grave84</t>
  </si>
  <si>
    <t>Grave85</t>
  </si>
  <si>
    <t>Grave87</t>
  </si>
  <si>
    <t>Grave89</t>
  </si>
  <si>
    <t>Grave94</t>
  </si>
  <si>
    <t>Grave111</t>
  </si>
  <si>
    <t>Grave112</t>
  </si>
  <si>
    <t>Grave117</t>
  </si>
  <si>
    <t>Grave121</t>
  </si>
  <si>
    <t>Grave125</t>
  </si>
  <si>
    <t>Grave126</t>
  </si>
  <si>
    <t>Grave127</t>
  </si>
  <si>
    <t>Grave129</t>
  </si>
  <si>
    <t>Grave137</t>
  </si>
  <si>
    <t>Grave143</t>
  </si>
  <si>
    <t>Grave151</t>
  </si>
  <si>
    <t>Grave154</t>
  </si>
  <si>
    <t>Grave158</t>
  </si>
  <si>
    <t>Grave171</t>
  </si>
  <si>
    <t>Grave174</t>
  </si>
  <si>
    <t>Grave179</t>
  </si>
  <si>
    <t>Grave182</t>
  </si>
  <si>
    <t>Grave197</t>
  </si>
  <si>
    <t>Grave215</t>
  </si>
  <si>
    <t>Grave225</t>
  </si>
  <si>
    <t>Grave249</t>
  </si>
  <si>
    <t>Grave255</t>
  </si>
  <si>
    <t>Grave256</t>
  </si>
  <si>
    <t>Grave261</t>
  </si>
  <si>
    <t>Grave286</t>
  </si>
  <si>
    <t>Grave294</t>
  </si>
  <si>
    <t>Grave139a</t>
  </si>
  <si>
    <t>GraveG3</t>
  </si>
  <si>
    <t>GraveG4</t>
  </si>
  <si>
    <t>GraveG16</t>
  </si>
  <si>
    <t>GraveG9</t>
  </si>
  <si>
    <t>GraveG6</t>
  </si>
  <si>
    <t>GraveG15</t>
  </si>
  <si>
    <t>GraveG12</t>
  </si>
  <si>
    <t>GraveG13</t>
  </si>
  <si>
    <t>GraveG1</t>
  </si>
  <si>
    <t>GraveG11VR3</t>
  </si>
  <si>
    <t>male?</t>
  </si>
  <si>
    <t>female</t>
  </si>
  <si>
    <t>male</t>
  </si>
  <si>
    <t>undetermined</t>
  </si>
  <si>
    <t>child</t>
  </si>
  <si>
    <t>DM</t>
  </si>
  <si>
    <t>BSF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</si>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</sst>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charset val="1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zoomScaleNormal="100" workbookViewId="0">
      <selection activeCell="I9" sqref="I9"/>
    </sheetView>
  </sheetViews>
  <sheetFormatPr baseColWidth="10" defaultColWidth="10.5" defaultRowHeight="16" x14ac:dyDescent="0.2"/>
  <cols>
    <col min="1" max="5" width="10.5" style="1"/>
    <col min="7" max="16384" width="10.5" style="1"/>
  </cols>
  <sheetData>
    <row r="1" spans="1:5" x14ac:dyDescent="0.2">
      <c r="B1" s="1" t="s">
        <v>0</v>
      </c>
      <c r="D1" s="1" t="s">
        <v>1</v>
      </c>
    </row>
    <row r="2" spans="1:5" x14ac:dyDescent="0.2">
      <c r="A2" s="1" t="s">
        <v>10</v>
      </c>
      <c r="B2" s="2">
        <v>-19.100000000000001</v>
      </c>
      <c r="C2" s="2">
        <v>0.2</v>
      </c>
      <c r="D2" s="2">
        <v>11.4</v>
      </c>
      <c r="E2" s="2">
        <v>0.3</v>
      </c>
    </row>
    <row r="3" spans="1:5" x14ac:dyDescent="0.2">
      <c r="A3" s="1" t="s">
        <v>11</v>
      </c>
      <c r="B3" s="2">
        <v>-19.5</v>
      </c>
      <c r="C3" s="2">
        <v>0.2</v>
      </c>
      <c r="D3" s="2">
        <v>11.4</v>
      </c>
      <c r="E3" s="2">
        <v>0.3</v>
      </c>
    </row>
    <row r="4" spans="1:5" x14ac:dyDescent="0.2">
      <c r="A4" s="1" t="s">
        <v>12</v>
      </c>
      <c r="B4" s="2">
        <v>-17.8</v>
      </c>
      <c r="C4" s="2">
        <v>0.2</v>
      </c>
      <c r="D4" s="2">
        <v>10.3</v>
      </c>
      <c r="E4" s="2">
        <v>0.3</v>
      </c>
    </row>
    <row r="5" spans="1:5" x14ac:dyDescent="0.2">
      <c r="A5" s="1" t="s">
        <v>13</v>
      </c>
      <c r="B5" s="2">
        <v>-18.7</v>
      </c>
      <c r="C5" s="2">
        <v>0.12</v>
      </c>
      <c r="D5" s="2">
        <v>11.7</v>
      </c>
      <c r="E5" s="2">
        <v>0.17</v>
      </c>
    </row>
    <row r="6" spans="1:5" x14ac:dyDescent="0.2">
      <c r="A6" s="1" t="s">
        <v>14</v>
      </c>
      <c r="B6" s="2">
        <v>-18.600000000000001</v>
      </c>
      <c r="C6" s="2">
        <v>0.14000000000000001</v>
      </c>
      <c r="D6" s="2">
        <v>10.8</v>
      </c>
      <c r="E6" s="2">
        <v>0.21</v>
      </c>
    </row>
    <row r="7" spans="1:5" x14ac:dyDescent="0.2">
      <c r="A7" s="1" t="s">
        <v>15</v>
      </c>
      <c r="B7" s="2">
        <v>-18.399999999999999</v>
      </c>
      <c r="C7" s="2">
        <v>0.2</v>
      </c>
      <c r="D7" s="2">
        <v>10</v>
      </c>
      <c r="E7" s="2">
        <v>0.3</v>
      </c>
    </row>
    <row r="8" spans="1:5" x14ac:dyDescent="0.2">
      <c r="A8" s="1" t="s">
        <v>16</v>
      </c>
      <c r="B8" s="2">
        <v>-18.7</v>
      </c>
      <c r="C8" s="2">
        <v>0.2</v>
      </c>
      <c r="D8" s="2">
        <v>9.9</v>
      </c>
      <c r="E8" s="2">
        <v>0.3</v>
      </c>
    </row>
    <row r="9" spans="1:5" x14ac:dyDescent="0.2">
      <c r="A9" s="1" t="s">
        <v>17</v>
      </c>
      <c r="B9" s="2">
        <v>-18.399999999999999</v>
      </c>
      <c r="C9" s="2">
        <v>0.2</v>
      </c>
      <c r="D9" s="2">
        <v>11.1</v>
      </c>
      <c r="E9" s="2">
        <v>0.3</v>
      </c>
    </row>
    <row r="10" spans="1:5" x14ac:dyDescent="0.2">
      <c r="A10" s="1" t="s">
        <v>18</v>
      </c>
      <c r="B10" s="2">
        <v>-19.600000000000001</v>
      </c>
      <c r="C10" s="2">
        <v>0.2</v>
      </c>
      <c r="D10" s="2">
        <v>11.9</v>
      </c>
      <c r="E10" s="2">
        <v>0.3</v>
      </c>
    </row>
    <row r="11" spans="1:5" x14ac:dyDescent="0.2">
      <c r="A11" s="1" t="s">
        <v>19</v>
      </c>
      <c r="B11" s="2">
        <v>-18.600000000000001</v>
      </c>
      <c r="C11" s="2">
        <v>0.2</v>
      </c>
      <c r="D11" s="2">
        <v>10.1</v>
      </c>
      <c r="E11" s="2">
        <v>0.3</v>
      </c>
    </row>
    <row r="12" spans="1:5" x14ac:dyDescent="0.2">
      <c r="A12" s="1" t="s">
        <v>20</v>
      </c>
      <c r="B12" s="2">
        <v>-19.100000000000001</v>
      </c>
      <c r="C12" s="2">
        <v>0.2</v>
      </c>
      <c r="D12" s="2">
        <v>9.8000000000000007</v>
      </c>
      <c r="E12" s="2">
        <v>0.3</v>
      </c>
    </row>
    <row r="13" spans="1:5" x14ac:dyDescent="0.2">
      <c r="A13" s="1" t="s">
        <v>21</v>
      </c>
      <c r="B13" s="2">
        <v>-19.100000000000001</v>
      </c>
      <c r="C13" s="2">
        <v>0.2</v>
      </c>
      <c r="D13" s="2">
        <v>9.9</v>
      </c>
      <c r="E13" s="2">
        <v>0.3</v>
      </c>
    </row>
    <row r="14" spans="1:5" x14ac:dyDescent="0.2">
      <c r="A14" s="1" t="s">
        <v>22</v>
      </c>
      <c r="B14" s="2">
        <v>-18.600000000000001</v>
      </c>
      <c r="C14" s="2">
        <v>0.2</v>
      </c>
      <c r="D14" s="2">
        <v>9.9</v>
      </c>
      <c r="E14" s="2">
        <v>0.3</v>
      </c>
    </row>
    <row r="15" spans="1:5" x14ac:dyDescent="0.2">
      <c r="A15" s="1" t="s">
        <v>23</v>
      </c>
      <c r="B15" s="2">
        <v>-18.100000000000001</v>
      </c>
      <c r="C15" s="2">
        <v>0.2</v>
      </c>
      <c r="D15" s="2">
        <v>10.6</v>
      </c>
      <c r="E15" s="2">
        <v>0.3</v>
      </c>
    </row>
    <row r="16" spans="1:5" x14ac:dyDescent="0.2">
      <c r="A16" s="1" t="s">
        <v>24</v>
      </c>
      <c r="B16" s="2">
        <v>-19.05</v>
      </c>
      <c r="C16" s="2">
        <v>0.14000000000000001</v>
      </c>
      <c r="D16" s="2">
        <v>9.6999999999999993</v>
      </c>
      <c r="E16" s="2">
        <v>0.21</v>
      </c>
    </row>
    <row r="17" spans="1:5" x14ac:dyDescent="0.2">
      <c r="A17" s="1" t="s">
        <v>25</v>
      </c>
      <c r="B17" s="2">
        <v>-18.600000000000001</v>
      </c>
      <c r="C17" s="2">
        <v>0.2</v>
      </c>
      <c r="D17" s="2">
        <v>10.3</v>
      </c>
      <c r="E17" s="2">
        <v>0.3</v>
      </c>
    </row>
    <row r="18" spans="1:5" x14ac:dyDescent="0.2">
      <c r="A18" s="1" t="s">
        <v>26</v>
      </c>
      <c r="B18" s="2">
        <v>-18.8</v>
      </c>
      <c r="C18" s="2">
        <v>0.2</v>
      </c>
      <c r="D18" s="2">
        <v>9.9</v>
      </c>
      <c r="E18" s="2">
        <v>0.3</v>
      </c>
    </row>
    <row r="19" spans="1:5" x14ac:dyDescent="0.2">
      <c r="A19" s="1" t="s">
        <v>27</v>
      </c>
      <c r="B19" s="2">
        <v>-19.05</v>
      </c>
      <c r="C19" s="2">
        <v>0.14000000000000001</v>
      </c>
      <c r="D19" s="2">
        <v>9.3000000000000007</v>
      </c>
      <c r="E19" s="2">
        <v>0.21</v>
      </c>
    </row>
    <row r="20" spans="1:5" x14ac:dyDescent="0.2">
      <c r="A20" s="1" t="s">
        <v>28</v>
      </c>
      <c r="B20" s="2">
        <v>-19.600000000000001</v>
      </c>
      <c r="C20" s="2">
        <v>0.2</v>
      </c>
      <c r="D20" s="2">
        <v>8.3000000000000007</v>
      </c>
      <c r="E20" s="2">
        <v>0.3</v>
      </c>
    </row>
    <row r="21" spans="1:5" x14ac:dyDescent="0.2">
      <c r="A21" s="1" t="s">
        <v>29</v>
      </c>
      <c r="B21" s="2">
        <v>-18.8</v>
      </c>
      <c r="C21" s="2">
        <v>0.2</v>
      </c>
      <c r="D21" s="2">
        <v>10.9</v>
      </c>
      <c r="E21" s="2">
        <v>0.3</v>
      </c>
    </row>
    <row r="22" spans="1:5" x14ac:dyDescent="0.2">
      <c r="A22" s="1" t="s">
        <v>30</v>
      </c>
      <c r="B22" s="2">
        <v>-19.399999999999999</v>
      </c>
      <c r="C22" s="2">
        <v>0.2</v>
      </c>
      <c r="D22" s="2">
        <v>9.6</v>
      </c>
      <c r="E22" s="2">
        <v>0.3</v>
      </c>
    </row>
    <row r="23" spans="1:5" x14ac:dyDescent="0.2">
      <c r="A23" s="1" t="s">
        <v>31</v>
      </c>
      <c r="B23" s="2">
        <v>-19.2</v>
      </c>
      <c r="C23" s="2">
        <v>0.2</v>
      </c>
      <c r="D23" s="2">
        <v>10.5</v>
      </c>
      <c r="E23" s="2">
        <v>0.3</v>
      </c>
    </row>
    <row r="24" spans="1:5" x14ac:dyDescent="0.2">
      <c r="A24" s="1" t="s">
        <v>32</v>
      </c>
      <c r="B24" s="2">
        <v>-18.600000000000001</v>
      </c>
      <c r="C24" s="2">
        <v>0.2</v>
      </c>
      <c r="D24" s="2">
        <v>10.3</v>
      </c>
      <c r="E24" s="2">
        <v>0.3</v>
      </c>
    </row>
    <row r="25" spans="1:5" x14ac:dyDescent="0.2">
      <c r="A25" s="1" t="s">
        <v>33</v>
      </c>
      <c r="B25" s="2">
        <v>-18.399999999999999</v>
      </c>
      <c r="C25" s="2">
        <v>0.2</v>
      </c>
      <c r="D25" s="2">
        <v>11.4</v>
      </c>
      <c r="E25" s="2">
        <v>0.3</v>
      </c>
    </row>
    <row r="26" spans="1:5" x14ac:dyDescent="0.2">
      <c r="A26" s="1" t="s">
        <v>34</v>
      </c>
      <c r="B26" s="2">
        <v>-18.600000000000001</v>
      </c>
      <c r="C26" s="2">
        <v>0.2</v>
      </c>
      <c r="D26" s="2">
        <v>10.5</v>
      </c>
      <c r="E26" s="2">
        <v>0.3</v>
      </c>
    </row>
    <row r="27" spans="1:5" x14ac:dyDescent="0.2">
      <c r="A27" s="1" t="s">
        <v>35</v>
      </c>
      <c r="B27" s="2">
        <v>-19</v>
      </c>
      <c r="C27" s="2">
        <v>0.2</v>
      </c>
      <c r="D27" s="2">
        <v>10.8</v>
      </c>
      <c r="E27" s="2">
        <v>0.3</v>
      </c>
    </row>
    <row r="28" spans="1:5" x14ac:dyDescent="0.2">
      <c r="A28" s="1" t="s">
        <v>36</v>
      </c>
      <c r="B28" s="2">
        <v>-18.649999999999999</v>
      </c>
      <c r="C28" s="2">
        <v>0.14000000000000001</v>
      </c>
      <c r="D28" s="2">
        <v>10.4</v>
      </c>
      <c r="E28" s="2">
        <v>0.21</v>
      </c>
    </row>
    <row r="29" spans="1:5" x14ac:dyDescent="0.2">
      <c r="A29" s="1" t="s">
        <v>37</v>
      </c>
      <c r="B29" s="2">
        <v>-18.600000000000001</v>
      </c>
      <c r="C29" s="2">
        <v>0.2</v>
      </c>
      <c r="D29" s="2">
        <v>9.9</v>
      </c>
      <c r="E29" s="2">
        <v>0.3</v>
      </c>
    </row>
    <row r="30" spans="1:5" x14ac:dyDescent="0.2">
      <c r="A30" s="1" t="s">
        <v>38</v>
      </c>
      <c r="B30" s="2">
        <v>-19.5</v>
      </c>
      <c r="C30" s="2">
        <v>0.2</v>
      </c>
      <c r="D30" s="2">
        <v>8.4</v>
      </c>
      <c r="E30" s="2">
        <v>0.3</v>
      </c>
    </row>
    <row r="31" spans="1:5" x14ac:dyDescent="0.2">
      <c r="A31" s="1" t="s">
        <v>39</v>
      </c>
      <c r="B31" s="2">
        <v>-18.899999999999999</v>
      </c>
      <c r="C31" s="2">
        <v>0.2</v>
      </c>
      <c r="D31" s="2">
        <v>10.1</v>
      </c>
      <c r="E31" s="2">
        <v>0.3</v>
      </c>
    </row>
    <row r="32" spans="1:5" x14ac:dyDescent="0.2">
      <c r="A32" s="1" t="s">
        <v>40</v>
      </c>
      <c r="B32" s="2">
        <v>-19.399999999999999</v>
      </c>
      <c r="C32" s="2">
        <v>0.2</v>
      </c>
      <c r="D32" s="2">
        <v>9.6</v>
      </c>
      <c r="E32" s="2">
        <v>0.3</v>
      </c>
    </row>
    <row r="33" spans="1:5" x14ac:dyDescent="0.2">
      <c r="A33" s="1" t="s">
        <v>41</v>
      </c>
      <c r="B33" s="2">
        <v>-19.8</v>
      </c>
      <c r="C33" s="2">
        <v>0.2</v>
      </c>
      <c r="D33" s="2">
        <v>10.9</v>
      </c>
      <c r="E33" s="2">
        <v>0.3</v>
      </c>
    </row>
    <row r="34" spans="1:5" x14ac:dyDescent="0.2">
      <c r="A34" s="1" t="s">
        <v>42</v>
      </c>
      <c r="B34" s="2">
        <v>-19.7</v>
      </c>
      <c r="C34" s="2">
        <v>0.14000000000000001</v>
      </c>
      <c r="D34" s="2">
        <v>11.15</v>
      </c>
      <c r="E34" s="2">
        <v>0.21</v>
      </c>
    </row>
    <row r="35" spans="1:5" x14ac:dyDescent="0.2">
      <c r="A35" s="1" t="s">
        <v>43</v>
      </c>
      <c r="B35" s="2">
        <v>-19.100000000000001</v>
      </c>
      <c r="C35" s="2">
        <v>0.2</v>
      </c>
      <c r="D35" s="2">
        <v>9.6999999999999993</v>
      </c>
      <c r="E35" s="2">
        <v>0.3</v>
      </c>
    </row>
    <row r="36" spans="1:5" x14ac:dyDescent="0.2">
      <c r="A36" s="1" t="s">
        <v>44</v>
      </c>
      <c r="B36" s="2">
        <v>-19</v>
      </c>
      <c r="C36" s="2">
        <v>0.2</v>
      </c>
      <c r="D36" s="2">
        <v>9.5</v>
      </c>
      <c r="E36" s="2">
        <v>0.3</v>
      </c>
    </row>
    <row r="37" spans="1:5" x14ac:dyDescent="0.2">
      <c r="A37" s="1" t="s">
        <v>45</v>
      </c>
      <c r="B37" s="2">
        <v>-19.3</v>
      </c>
      <c r="C37" s="2">
        <v>0.2</v>
      </c>
      <c r="D37" s="2">
        <v>11.5</v>
      </c>
      <c r="E37" s="2">
        <v>0.3</v>
      </c>
    </row>
    <row r="38" spans="1:5" x14ac:dyDescent="0.2">
      <c r="A38" s="1" t="s">
        <v>46</v>
      </c>
      <c r="B38" s="2">
        <v>-19.100000000000001</v>
      </c>
      <c r="C38" s="2">
        <v>0.2</v>
      </c>
      <c r="D38" s="2">
        <v>9.9</v>
      </c>
      <c r="E38" s="2">
        <v>0.3</v>
      </c>
    </row>
    <row r="39" spans="1:5" x14ac:dyDescent="0.2">
      <c r="A39" s="1" t="s">
        <v>47</v>
      </c>
      <c r="B39" s="2">
        <v>-19</v>
      </c>
      <c r="C39" s="2">
        <v>0.2</v>
      </c>
      <c r="D39" s="2">
        <v>9.4</v>
      </c>
      <c r="E39" s="2">
        <v>0.3</v>
      </c>
    </row>
    <row r="40" spans="1:5" x14ac:dyDescent="0.2">
      <c r="A40" s="1" t="s">
        <v>48</v>
      </c>
      <c r="B40" s="2">
        <v>-19.3</v>
      </c>
      <c r="C40" s="2">
        <v>0.2</v>
      </c>
      <c r="D40" s="2">
        <v>8.8000000000000007</v>
      </c>
      <c r="E40" s="2">
        <v>0.3</v>
      </c>
    </row>
    <row r="41" spans="1:5" x14ac:dyDescent="0.2">
      <c r="A41" s="1" t="s">
        <v>49</v>
      </c>
      <c r="B41" s="2">
        <v>-18.5</v>
      </c>
      <c r="C41" s="2">
        <v>0.2</v>
      </c>
      <c r="D41" s="2">
        <v>9.9</v>
      </c>
      <c r="E41" s="2">
        <v>0.3</v>
      </c>
    </row>
    <row r="42" spans="1:5" x14ac:dyDescent="0.2">
      <c r="A42" s="1" t="s">
        <v>50</v>
      </c>
      <c r="B42" s="2">
        <v>-19.100000000000001</v>
      </c>
      <c r="C42" s="2">
        <v>0.2</v>
      </c>
      <c r="D42" s="2">
        <v>10</v>
      </c>
      <c r="E42" s="2">
        <v>0.3</v>
      </c>
    </row>
    <row r="43" spans="1:5" x14ac:dyDescent="0.2">
      <c r="A43" s="1" t="s">
        <v>51</v>
      </c>
      <c r="B43" s="2">
        <v>-19.600000000000001</v>
      </c>
      <c r="C43" s="2">
        <v>0.2</v>
      </c>
      <c r="D43" s="2">
        <v>11.6</v>
      </c>
      <c r="E43" s="2">
        <v>0.3</v>
      </c>
    </row>
    <row r="44" spans="1:5" x14ac:dyDescent="0.2">
      <c r="A44" s="1" t="s">
        <v>52</v>
      </c>
      <c r="B44" s="2">
        <v>-20</v>
      </c>
      <c r="C44" s="2">
        <v>0.2</v>
      </c>
      <c r="D44" s="2">
        <v>10.199999999999999</v>
      </c>
      <c r="E44" s="2">
        <v>0.3</v>
      </c>
    </row>
    <row r="45" spans="1:5" x14ac:dyDescent="0.2">
      <c r="A45" s="1" t="s">
        <v>53</v>
      </c>
      <c r="B45" s="2">
        <v>-19</v>
      </c>
      <c r="C45" s="2">
        <v>0.2</v>
      </c>
      <c r="D45" s="2">
        <v>9.9</v>
      </c>
      <c r="E45" s="2">
        <v>0.3</v>
      </c>
    </row>
    <row r="46" spans="1:5" x14ac:dyDescent="0.2">
      <c r="A46" s="1" t="s">
        <v>54</v>
      </c>
      <c r="B46" s="2">
        <v>-18.5</v>
      </c>
      <c r="C46" s="2">
        <v>0.2</v>
      </c>
      <c r="D46" s="2">
        <v>10.3</v>
      </c>
      <c r="E46" s="2">
        <v>0.3</v>
      </c>
    </row>
    <row r="47" spans="1:5" x14ac:dyDescent="0.2">
      <c r="A47" s="1" t="s">
        <v>55</v>
      </c>
      <c r="B47" s="2">
        <v>-19.3</v>
      </c>
      <c r="C47" s="2">
        <v>0.2</v>
      </c>
      <c r="D47" s="2">
        <v>10.4</v>
      </c>
      <c r="E47" s="2">
        <v>0.3</v>
      </c>
    </row>
    <row r="48" spans="1:5" x14ac:dyDescent="0.2">
      <c r="A48" s="1" t="s">
        <v>56</v>
      </c>
      <c r="B48" s="2">
        <v>-18.899999999999999</v>
      </c>
      <c r="C48" s="2">
        <v>0.2</v>
      </c>
      <c r="D48" s="2">
        <v>10.3</v>
      </c>
      <c r="E48" s="2">
        <v>0.3</v>
      </c>
    </row>
    <row r="49" spans="1:5" x14ac:dyDescent="0.2">
      <c r="A49" s="1" t="s">
        <v>57</v>
      </c>
      <c r="B49" s="2">
        <v>-18.97</v>
      </c>
      <c r="C49" s="2">
        <v>0.12</v>
      </c>
      <c r="D49" s="2">
        <v>10.199999999999999</v>
      </c>
      <c r="E49" s="2">
        <v>0.17</v>
      </c>
    </row>
    <row r="50" spans="1:5" x14ac:dyDescent="0.2">
      <c r="A50" s="1" t="s">
        <v>58</v>
      </c>
      <c r="B50" s="2">
        <v>-19</v>
      </c>
      <c r="C50" s="2">
        <v>0.2</v>
      </c>
      <c r="D50" s="2">
        <v>11</v>
      </c>
      <c r="E50" s="2">
        <v>0.3</v>
      </c>
    </row>
    <row r="51" spans="1:5" x14ac:dyDescent="0.2">
      <c r="A51" s="1" t="s">
        <v>59</v>
      </c>
      <c r="B51" s="2">
        <v>-19.399999999999999</v>
      </c>
      <c r="C51" s="2">
        <v>0.2</v>
      </c>
      <c r="D51" s="2">
        <v>10.5</v>
      </c>
      <c r="E51" s="2">
        <v>0.3</v>
      </c>
    </row>
    <row r="52" spans="1:5" x14ac:dyDescent="0.2">
      <c r="A52" s="1" t="s">
        <v>60</v>
      </c>
      <c r="B52" s="2">
        <v>-19.2</v>
      </c>
      <c r="C52" s="2">
        <v>0.2</v>
      </c>
      <c r="D52" s="2">
        <v>10.8</v>
      </c>
      <c r="E52" s="2">
        <v>0.3</v>
      </c>
    </row>
    <row r="53" spans="1:5" x14ac:dyDescent="0.2">
      <c r="A53" s="1" t="s">
        <v>61</v>
      </c>
      <c r="B53" s="2">
        <v>-18.8</v>
      </c>
      <c r="C53" s="2">
        <v>0.2</v>
      </c>
      <c r="D53" s="2">
        <v>10.5</v>
      </c>
      <c r="E53" s="2">
        <v>0.3</v>
      </c>
    </row>
    <row r="54" spans="1:5" x14ac:dyDescent="0.2">
      <c r="A54" s="1" t="s">
        <v>62</v>
      </c>
      <c r="B54" s="2">
        <v>-19.2</v>
      </c>
      <c r="C54" s="2">
        <v>0.2</v>
      </c>
      <c r="D54" s="2">
        <v>10.4</v>
      </c>
      <c r="E54" s="2">
        <v>0.3</v>
      </c>
    </row>
    <row r="55" spans="1:5" x14ac:dyDescent="0.2">
      <c r="A55" s="1" t="s">
        <v>63</v>
      </c>
      <c r="B55" s="2">
        <v>-19.399999999999999</v>
      </c>
      <c r="C55" s="2">
        <v>0.2</v>
      </c>
      <c r="D55" s="2">
        <v>10.1</v>
      </c>
      <c r="E55" s="2">
        <v>0.3</v>
      </c>
    </row>
    <row r="56" spans="1:5" x14ac:dyDescent="0.2">
      <c r="A56" s="1" t="s">
        <v>64</v>
      </c>
      <c r="B56" s="2">
        <v>-19.399999999999999</v>
      </c>
      <c r="C56" s="2">
        <v>0.2</v>
      </c>
      <c r="D56" s="2">
        <v>9.8000000000000007</v>
      </c>
      <c r="E56" s="2">
        <v>0.3</v>
      </c>
    </row>
    <row r="57" spans="1:5" x14ac:dyDescent="0.2">
      <c r="A57" s="1" t="s">
        <v>65</v>
      </c>
      <c r="B57" s="2">
        <v>-18.899999999999999</v>
      </c>
      <c r="C57" s="2">
        <v>0.2</v>
      </c>
      <c r="D57" s="2">
        <v>9.5</v>
      </c>
      <c r="E57" s="2">
        <v>0.3</v>
      </c>
    </row>
    <row r="58" spans="1:5" x14ac:dyDescent="0.2">
      <c r="A58" s="1" t="s">
        <v>66</v>
      </c>
      <c r="B58" s="2">
        <v>-19.8</v>
      </c>
      <c r="C58" s="2">
        <v>0.2</v>
      </c>
      <c r="D58" s="2">
        <v>9.6</v>
      </c>
      <c r="E58" s="2">
        <v>0.3</v>
      </c>
    </row>
    <row r="59" spans="1:5" x14ac:dyDescent="0.2">
      <c r="A59" s="1" t="s">
        <v>67</v>
      </c>
      <c r="B59" s="2">
        <v>-19.399999999999999</v>
      </c>
      <c r="C59" s="2">
        <v>0.2</v>
      </c>
      <c r="D59" s="2">
        <v>9.1999999999999993</v>
      </c>
      <c r="E59" s="2">
        <v>0.3</v>
      </c>
    </row>
    <row r="60" spans="1:5" x14ac:dyDescent="0.2">
      <c r="A60" s="1" t="s">
        <v>68</v>
      </c>
      <c r="B60" s="2">
        <v>-20</v>
      </c>
      <c r="C60" s="2">
        <v>0.2</v>
      </c>
      <c r="D60" s="2">
        <v>9.5</v>
      </c>
      <c r="E60" s="2">
        <v>0.3</v>
      </c>
    </row>
    <row r="61" spans="1:5" x14ac:dyDescent="0.2">
      <c r="A61" s="1" t="s">
        <v>69</v>
      </c>
      <c r="B61" s="2">
        <v>-19.8</v>
      </c>
      <c r="C61" s="2">
        <v>0.2</v>
      </c>
      <c r="D61" s="2">
        <v>9.1999999999999993</v>
      </c>
      <c r="E61" s="2">
        <v>0.3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zoomScaleNormal="100" workbookViewId="0">
      <selection activeCell="F9" sqref="F9"/>
    </sheetView>
  </sheetViews>
  <sheetFormatPr baseColWidth="10" defaultColWidth="10.5" defaultRowHeight="16" x14ac:dyDescent="0.2"/>
  <cols>
    <col min="2" max="2" width="27.5" customWidth="1"/>
  </cols>
  <sheetData>
    <row r="1" spans="1:2" x14ac:dyDescent="0.2">
      <c r="A1" s="1"/>
      <c r="B1" s="1" t="s">
        <v>77</v>
      </c>
    </row>
    <row r="2" spans="1:2" x14ac:dyDescent="0.2">
      <c r="A2" s="1" t="s">
        <v>10</v>
      </c>
      <c r="B2" s="1" t="s">
        <v>70</v>
      </c>
    </row>
    <row r="3" spans="1:2" x14ac:dyDescent="0.2">
      <c r="A3" s="1" t="s">
        <v>11</v>
      </c>
      <c r="B3" s="1" t="s">
        <v>71</v>
      </c>
    </row>
    <row r="4" spans="1:2" x14ac:dyDescent="0.2">
      <c r="A4" s="1" t="s">
        <v>12</v>
      </c>
      <c r="B4" s="1" t="s">
        <v>72</v>
      </c>
    </row>
    <row r="5" spans="1:2" x14ac:dyDescent="0.2">
      <c r="A5" s="1" t="s">
        <v>13</v>
      </c>
      <c r="B5" s="1" t="s">
        <v>72</v>
      </c>
    </row>
    <row r="6" spans="1:2" x14ac:dyDescent="0.2">
      <c r="A6" s="1" t="s">
        <v>14</v>
      </c>
      <c r="B6" s="1" t="s">
        <v>71</v>
      </c>
    </row>
    <row r="7" spans="1:2" x14ac:dyDescent="0.2">
      <c r="A7" s="1" t="s">
        <v>15</v>
      </c>
      <c r="B7" s="1" t="s">
        <v>72</v>
      </c>
    </row>
    <row r="8" spans="1:2" x14ac:dyDescent="0.2">
      <c r="A8" s="1" t="s">
        <v>16</v>
      </c>
      <c r="B8" s="1" t="s">
        <v>72</v>
      </c>
    </row>
    <row r="9" spans="1:2" x14ac:dyDescent="0.2">
      <c r="A9" s="1" t="s">
        <v>17</v>
      </c>
      <c r="B9" s="1" t="s">
        <v>72</v>
      </c>
    </row>
    <row r="10" spans="1:2" x14ac:dyDescent="0.2">
      <c r="A10" s="1" t="s">
        <v>18</v>
      </c>
      <c r="B10" s="1" t="s">
        <v>72</v>
      </c>
    </row>
    <row r="11" spans="1:2" x14ac:dyDescent="0.2">
      <c r="A11" s="1" t="s">
        <v>19</v>
      </c>
      <c r="B11" s="1" t="s">
        <v>72</v>
      </c>
    </row>
    <row r="12" spans="1:2" x14ac:dyDescent="0.2">
      <c r="A12" s="1" t="s">
        <v>20</v>
      </c>
      <c r="B12" s="1" t="s">
        <v>73</v>
      </c>
    </row>
    <row r="13" spans="1:2" x14ac:dyDescent="0.2">
      <c r="A13" s="1" t="s">
        <v>21</v>
      </c>
      <c r="B13" s="1" t="s">
        <v>72</v>
      </c>
    </row>
    <row r="14" spans="1:2" x14ac:dyDescent="0.2">
      <c r="A14" s="1" t="s">
        <v>22</v>
      </c>
      <c r="B14" s="1" t="s">
        <v>71</v>
      </c>
    </row>
    <row r="15" spans="1:2" x14ac:dyDescent="0.2">
      <c r="A15" s="1" t="s">
        <v>23</v>
      </c>
      <c r="B15" s="1" t="s">
        <v>73</v>
      </c>
    </row>
    <row r="16" spans="1:2" x14ac:dyDescent="0.2">
      <c r="A16" s="1" t="s">
        <v>24</v>
      </c>
      <c r="B16" s="1" t="s">
        <v>72</v>
      </c>
    </row>
    <row r="17" spans="1:2" x14ac:dyDescent="0.2">
      <c r="A17" s="1" t="s">
        <v>25</v>
      </c>
      <c r="B17" s="1" t="s">
        <v>72</v>
      </c>
    </row>
    <row r="18" spans="1:2" x14ac:dyDescent="0.2">
      <c r="A18" s="1" t="s">
        <v>26</v>
      </c>
      <c r="B18" s="1" t="s">
        <v>72</v>
      </c>
    </row>
    <row r="19" spans="1:2" x14ac:dyDescent="0.2">
      <c r="A19" s="1" t="s">
        <v>27</v>
      </c>
      <c r="B19" s="1" t="s">
        <v>72</v>
      </c>
    </row>
    <row r="20" spans="1:2" x14ac:dyDescent="0.2">
      <c r="A20" s="1" t="s">
        <v>28</v>
      </c>
      <c r="B20" s="1" t="s">
        <v>74</v>
      </c>
    </row>
    <row r="21" spans="1:2" x14ac:dyDescent="0.2">
      <c r="A21" s="1" t="s">
        <v>29</v>
      </c>
      <c r="B21" s="1" t="s">
        <v>72</v>
      </c>
    </row>
    <row r="22" spans="1:2" x14ac:dyDescent="0.2">
      <c r="A22" s="1" t="s">
        <v>30</v>
      </c>
      <c r="B22" s="1" t="s">
        <v>71</v>
      </c>
    </row>
    <row r="23" spans="1:2" x14ac:dyDescent="0.2">
      <c r="A23" s="1" t="s">
        <v>31</v>
      </c>
      <c r="B23" s="1" t="s">
        <v>72</v>
      </c>
    </row>
    <row r="24" spans="1:2" x14ac:dyDescent="0.2">
      <c r="A24" s="1" t="s">
        <v>32</v>
      </c>
      <c r="B24" s="1" t="s">
        <v>73</v>
      </c>
    </row>
    <row r="25" spans="1:2" x14ac:dyDescent="0.2">
      <c r="A25" s="1" t="s">
        <v>33</v>
      </c>
      <c r="B25" s="1" t="s">
        <v>72</v>
      </c>
    </row>
    <row r="26" spans="1:2" x14ac:dyDescent="0.2">
      <c r="A26" s="1" t="s">
        <v>34</v>
      </c>
      <c r="B26" s="1" t="s">
        <v>70</v>
      </c>
    </row>
    <row r="27" spans="1:2" x14ac:dyDescent="0.2">
      <c r="A27" s="1" t="s">
        <v>35</v>
      </c>
      <c r="B27" s="1" t="s">
        <v>72</v>
      </c>
    </row>
    <row r="28" spans="1:2" x14ac:dyDescent="0.2">
      <c r="A28" s="1" t="s">
        <v>36</v>
      </c>
      <c r="B28" s="1" t="s">
        <v>71</v>
      </c>
    </row>
    <row r="29" spans="1:2" x14ac:dyDescent="0.2">
      <c r="A29" s="1" t="s">
        <v>37</v>
      </c>
      <c r="B29" s="1" t="s">
        <v>73</v>
      </c>
    </row>
    <row r="30" spans="1:2" x14ac:dyDescent="0.2">
      <c r="A30" s="1" t="s">
        <v>38</v>
      </c>
      <c r="B30" s="1" t="s">
        <v>73</v>
      </c>
    </row>
    <row r="31" spans="1:2" x14ac:dyDescent="0.2">
      <c r="A31" s="1" t="s">
        <v>39</v>
      </c>
      <c r="B31" s="1" t="s">
        <v>72</v>
      </c>
    </row>
    <row r="32" spans="1:2" x14ac:dyDescent="0.2">
      <c r="A32" s="1" t="s">
        <v>40</v>
      </c>
      <c r="B32" s="1" t="s">
        <v>71</v>
      </c>
    </row>
    <row r="33" spans="1:2" x14ac:dyDescent="0.2">
      <c r="A33" s="1" t="s">
        <v>41</v>
      </c>
      <c r="B33" s="1" t="s">
        <v>72</v>
      </c>
    </row>
    <row r="34" spans="1:2" x14ac:dyDescent="0.2">
      <c r="A34" s="1" t="s">
        <v>42</v>
      </c>
      <c r="B34" s="1" t="s">
        <v>72</v>
      </c>
    </row>
    <row r="35" spans="1:2" x14ac:dyDescent="0.2">
      <c r="A35" s="1" t="s">
        <v>43</v>
      </c>
      <c r="B35" s="1" t="s">
        <v>72</v>
      </c>
    </row>
    <row r="36" spans="1:2" x14ac:dyDescent="0.2">
      <c r="A36" s="1" t="s">
        <v>44</v>
      </c>
      <c r="B36" s="1" t="s">
        <v>71</v>
      </c>
    </row>
    <row r="37" spans="1:2" x14ac:dyDescent="0.2">
      <c r="A37" s="1" t="s">
        <v>45</v>
      </c>
      <c r="B37" s="1" t="s">
        <v>71</v>
      </c>
    </row>
    <row r="38" spans="1:2" x14ac:dyDescent="0.2">
      <c r="A38" s="1" t="s">
        <v>46</v>
      </c>
      <c r="B38" s="1" t="s">
        <v>73</v>
      </c>
    </row>
    <row r="39" spans="1:2" x14ac:dyDescent="0.2">
      <c r="A39" s="1" t="s">
        <v>47</v>
      </c>
      <c r="B39" s="1" t="s">
        <v>72</v>
      </c>
    </row>
    <row r="40" spans="1:2" x14ac:dyDescent="0.2">
      <c r="A40" s="1" t="s">
        <v>48</v>
      </c>
      <c r="B40" s="1" t="s">
        <v>74</v>
      </c>
    </row>
    <row r="41" spans="1:2" x14ac:dyDescent="0.2">
      <c r="A41" s="1" t="s">
        <v>49</v>
      </c>
      <c r="B41" s="1" t="s">
        <v>72</v>
      </c>
    </row>
    <row r="42" spans="1:2" x14ac:dyDescent="0.2">
      <c r="A42" s="1" t="s">
        <v>50</v>
      </c>
      <c r="B42" s="1" t="s">
        <v>71</v>
      </c>
    </row>
    <row r="43" spans="1:2" x14ac:dyDescent="0.2">
      <c r="A43" s="1" t="s">
        <v>51</v>
      </c>
      <c r="B43" s="1" t="s">
        <v>72</v>
      </c>
    </row>
    <row r="44" spans="1:2" x14ac:dyDescent="0.2">
      <c r="A44" s="1" t="s">
        <v>52</v>
      </c>
      <c r="B44" s="1" t="s">
        <v>71</v>
      </c>
    </row>
    <row r="45" spans="1:2" x14ac:dyDescent="0.2">
      <c r="A45" s="1" t="s">
        <v>53</v>
      </c>
      <c r="B45" s="1" t="s">
        <v>72</v>
      </c>
    </row>
    <row r="46" spans="1:2" x14ac:dyDescent="0.2">
      <c r="A46" s="1" t="s">
        <v>54</v>
      </c>
      <c r="B46" s="1" t="s">
        <v>72</v>
      </c>
    </row>
    <row r="47" spans="1:2" x14ac:dyDescent="0.2">
      <c r="A47" s="1" t="s">
        <v>55</v>
      </c>
      <c r="B47" s="1" t="s">
        <v>72</v>
      </c>
    </row>
    <row r="48" spans="1:2" x14ac:dyDescent="0.2">
      <c r="A48" s="1" t="s">
        <v>56</v>
      </c>
      <c r="B48" s="1" t="s">
        <v>72</v>
      </c>
    </row>
    <row r="49" spans="1:2" x14ac:dyDescent="0.2">
      <c r="A49" s="1" t="s">
        <v>57</v>
      </c>
      <c r="B49" s="1" t="s">
        <v>71</v>
      </c>
    </row>
    <row r="50" spans="1:2" x14ac:dyDescent="0.2">
      <c r="A50" s="1" t="s">
        <v>58</v>
      </c>
      <c r="B50" s="1" t="s">
        <v>72</v>
      </c>
    </row>
    <row r="51" spans="1:2" x14ac:dyDescent="0.2">
      <c r="A51" s="1" t="s">
        <v>59</v>
      </c>
      <c r="B51" s="1" t="s">
        <v>72</v>
      </c>
    </row>
    <row r="52" spans="1:2" x14ac:dyDescent="0.2">
      <c r="A52" s="1" t="s">
        <v>60</v>
      </c>
      <c r="B52" s="1" t="s">
        <v>72</v>
      </c>
    </row>
    <row r="53" spans="1:2" x14ac:dyDescent="0.2">
      <c r="A53" s="1" t="s">
        <v>61</v>
      </c>
      <c r="B53" s="1" t="s">
        <v>73</v>
      </c>
    </row>
    <row r="54" spans="1:2" x14ac:dyDescent="0.2">
      <c r="A54" s="1" t="s">
        <v>62</v>
      </c>
      <c r="B54" s="1" t="s">
        <v>71</v>
      </c>
    </row>
    <row r="55" spans="1:2" x14ac:dyDescent="0.2">
      <c r="A55" s="1" t="s">
        <v>63</v>
      </c>
      <c r="B55" s="1" t="s">
        <v>71</v>
      </c>
    </row>
    <row r="56" spans="1:2" x14ac:dyDescent="0.2">
      <c r="A56" s="1" t="s">
        <v>64</v>
      </c>
      <c r="B56" s="1" t="s">
        <v>73</v>
      </c>
    </row>
    <row r="57" spans="1:2" x14ac:dyDescent="0.2">
      <c r="A57" s="1" t="s">
        <v>65</v>
      </c>
      <c r="B57" s="1" t="s">
        <v>71</v>
      </c>
    </row>
    <row r="58" spans="1:2" x14ac:dyDescent="0.2">
      <c r="A58" s="1" t="s">
        <v>66</v>
      </c>
      <c r="B58" s="1" t="s">
        <v>71</v>
      </c>
    </row>
    <row r="59" spans="1:2" x14ac:dyDescent="0.2">
      <c r="A59" s="1" t="s">
        <v>67</v>
      </c>
      <c r="B59" s="1" t="s">
        <v>71</v>
      </c>
    </row>
    <row r="60" spans="1:2" x14ac:dyDescent="0.2">
      <c r="A60" s="1" t="s">
        <v>68</v>
      </c>
      <c r="B60" s="1" t="s">
        <v>72</v>
      </c>
    </row>
    <row r="61" spans="1:2" x14ac:dyDescent="0.2">
      <c r="A61" s="1" t="s">
        <v>69</v>
      </c>
      <c r="B61" s="1" t="s">
        <v>71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zoomScaleNormal="100" workbookViewId="0">
      <selection activeCell="I9" sqref="A1:XFD1048576"/>
    </sheetView>
  </sheetViews>
  <sheetFormatPr baseColWidth="10" defaultColWidth="10.5" defaultRowHeight="16" x14ac:dyDescent="0.2"/>
  <cols>
    <col min="1" max="16384" width="10.5" style="1"/>
  </cols>
  <sheetData>
    <row r="1" spans="1:3" x14ac:dyDescent="0.2">
      <c r="A1" s="1" t="s">
        <v>2</v>
      </c>
    </row>
    <row r="2" spans="1:3" x14ac:dyDescent="0.2">
      <c r="A2" s="1" t="s">
        <v>0</v>
      </c>
      <c r="B2" s="1">
        <v>4.8</v>
      </c>
      <c r="C2" s="1">
        <v>0.5</v>
      </c>
    </row>
    <row r="3" spans="1:3" x14ac:dyDescent="0.2">
      <c r="A3" s="1" t="s">
        <v>1</v>
      </c>
      <c r="B3" s="1">
        <v>5.5</v>
      </c>
      <c r="C3" s="1">
        <v>0.5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workbookViewId="0">
      <selection activeCell="E13" sqref="E13"/>
    </sheetView>
  </sheetViews>
  <sheetFormatPr baseColWidth="10" defaultColWidth="10.5" defaultRowHeight="16" x14ac:dyDescent="0.2"/>
  <sheetData>
    <row r="1" spans="1:5" x14ac:dyDescent="0.2">
      <c r="A1" s="1"/>
      <c r="B1" s="1" t="s">
        <v>0</v>
      </c>
      <c r="C1" s="1"/>
      <c r="D1" s="1" t="s">
        <v>1</v>
      </c>
      <c r="E1" s="1"/>
    </row>
    <row r="2" spans="1:5" x14ac:dyDescent="0.2">
      <c r="A2" s="1" t="s">
        <v>3</v>
      </c>
      <c r="B2" s="1"/>
      <c r="C2" s="1"/>
      <c r="D2" s="1"/>
      <c r="E2" s="1"/>
    </row>
    <row r="3" spans="1:5" x14ac:dyDescent="0.2">
      <c r="A3" s="1" t="s">
        <v>75</v>
      </c>
      <c r="B3" s="1"/>
      <c r="C3" s="1"/>
      <c r="D3" s="1"/>
      <c r="E3" s="1"/>
    </row>
    <row r="4" spans="1:5" x14ac:dyDescent="0.2">
      <c r="A4" s="1" t="s">
        <v>76</v>
      </c>
      <c r="B4" s="1"/>
      <c r="C4" s="1"/>
      <c r="D4" s="1"/>
      <c r="E4" s="1"/>
    </row>
    <row r="7" spans="1:5" x14ac:dyDescent="0.2">
      <c r="A7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tabSelected="1" zoomScaleNormal="100" workbookViewId="0">
      <selection activeCell="G13" sqref="G13"/>
    </sheetView>
  </sheetViews>
  <sheetFormatPr baseColWidth="10" defaultColWidth="10.5" defaultRowHeight="16" x14ac:dyDescent="0.2"/>
  <cols>
    <col min="5" max="5" width="21.5" customWidth="1"/>
  </cols>
  <sheetData>
    <row r="1" spans="1:10" x14ac:dyDescent="0.2">
      <c r="A1" s="3" t="s">
        <v>4</v>
      </c>
      <c r="B1" s="3"/>
      <c r="C1" s="4"/>
      <c r="D1" s="4"/>
      <c r="E1" s="4"/>
      <c r="F1" s="4"/>
      <c r="G1" s="4"/>
      <c r="H1" s="3" t="s">
        <v>5</v>
      </c>
      <c r="I1" s="3"/>
      <c r="J1" s="4"/>
    </row>
    <row r="2" spans="1:10" x14ac:dyDescent="0.2">
      <c r="A2" s="4"/>
      <c r="B2" s="4" t="s">
        <v>6</v>
      </c>
      <c r="C2" s="4" t="s">
        <v>7</v>
      </c>
      <c r="D2" s="4" t="s">
        <v>8</v>
      </c>
      <c r="E2" s="4" t="s">
        <v>9</v>
      </c>
      <c r="F2" s="4"/>
      <c r="G2" s="4"/>
      <c r="H2" s="4"/>
      <c r="I2" s="4" t="s">
        <v>6</v>
      </c>
      <c r="J2" s="4" t="s">
        <v>7</v>
      </c>
    </row>
    <row r="3" spans="1:10" x14ac:dyDescent="0.2">
      <c r="A3" s="1" t="s">
        <v>3</v>
      </c>
      <c r="B3" s="4">
        <f>source_data!B2-2</f>
        <v>-2</v>
      </c>
      <c r="C3" s="4">
        <f>CEILING(source_data!C2,0.5)</f>
        <v>0</v>
      </c>
      <c r="D3" s="4">
        <f>source_data!B2+0.5</f>
        <v>0.5</v>
      </c>
      <c r="E3" s="4">
        <f>CEILING(source_data!E2,0.5)</f>
        <v>0</v>
      </c>
      <c r="F3" s="4"/>
      <c r="G3" s="4"/>
      <c r="H3" s="1" t="s">
        <v>3</v>
      </c>
      <c r="I3" s="4">
        <f>source_data!D2</f>
        <v>0</v>
      </c>
      <c r="J3" s="4">
        <f>CEILING(source_data!E2,0.5)</f>
        <v>0</v>
      </c>
    </row>
    <row r="4" spans="1:10" x14ac:dyDescent="0.2">
      <c r="A4" s="1" t="s">
        <v>75</v>
      </c>
      <c r="B4" s="4">
        <f>source_data!B3-2</f>
        <v>-2</v>
      </c>
      <c r="C4" s="4">
        <f>CEILING(source_data!C3,0.5)</f>
        <v>0</v>
      </c>
      <c r="D4" s="4">
        <f>source_data!B3-8</f>
        <v>-8</v>
      </c>
      <c r="E4" s="4">
        <f>CEILING(source_data!E3,0.5)</f>
        <v>0</v>
      </c>
      <c r="F4" s="4"/>
      <c r="G4" s="4"/>
      <c r="H4" s="1" t="s">
        <v>75</v>
      </c>
      <c r="I4" s="4">
        <f>source_data!D3</f>
        <v>0</v>
      </c>
      <c r="J4" s="4">
        <f>CEILING(source_data!E3,0.5)</f>
        <v>0</v>
      </c>
    </row>
    <row r="5" spans="1:10" x14ac:dyDescent="0.2">
      <c r="A5" s="1" t="s">
        <v>76</v>
      </c>
      <c r="B5" s="4">
        <f>source_data!B4-1</f>
        <v>-1</v>
      </c>
      <c r="C5" s="4">
        <f>CEILING(source_data!C4,0.5)</f>
        <v>0</v>
      </c>
      <c r="D5" s="4">
        <f>source_data!B4-7</f>
        <v>-7</v>
      </c>
      <c r="E5" s="4">
        <f>CEILING(source_data!E4,0.5)</f>
        <v>0</v>
      </c>
      <c r="F5" s="1"/>
      <c r="G5" s="1"/>
      <c r="H5" s="1" t="s">
        <v>76</v>
      </c>
      <c r="I5" s="4">
        <f>source_data!D4+1.5</f>
        <v>1.5</v>
      </c>
      <c r="J5" s="4">
        <f>CEILING(source_data!E4,0.5)</f>
        <v>0</v>
      </c>
    </row>
    <row r="7" spans="1:10" x14ac:dyDescent="0.2">
      <c r="A7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zoomScaleNormal="100" workbookViewId="0">
      <selection sqref="A1:E3"/>
    </sheetView>
  </sheetViews>
  <sheetFormatPr baseColWidth="10" defaultColWidth="10.5" defaultRowHeight="16" x14ac:dyDescent="0.2"/>
  <sheetData>
    <row r="1" spans="1:5" x14ac:dyDescent="0.2">
      <c r="A1" s="4"/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2">
      <c r="A2" s="4" t="s">
        <v>0</v>
      </c>
      <c r="B2" s="4">
        <v>74</v>
      </c>
      <c r="C2" s="4">
        <v>0</v>
      </c>
      <c r="D2" s="4">
        <v>26</v>
      </c>
      <c r="E2" s="4">
        <v>0</v>
      </c>
    </row>
    <row r="3" spans="1:5" x14ac:dyDescent="0.2">
      <c r="A3" s="4" t="s">
        <v>1</v>
      </c>
      <c r="B3" s="4">
        <v>100</v>
      </c>
      <c r="C3" s="4">
        <v>0</v>
      </c>
      <c r="D3" s="4">
        <v>0</v>
      </c>
      <c r="E3" s="4">
        <v>0</v>
      </c>
    </row>
    <row r="7" spans="1:5" x14ac:dyDescent="0.2">
      <c r="A7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zoomScaleNormal="100" workbookViewId="0">
      <selection activeCell="G16" sqref="G16"/>
    </sheetView>
  </sheetViews>
  <sheetFormatPr baseColWidth="10" defaultColWidth="10.5" defaultRowHeight="16" x14ac:dyDescent="0.2"/>
  <sheetData>
    <row r="1" spans="1:5" x14ac:dyDescent="0.2">
      <c r="A1" s="1"/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s="1" t="s">
        <v>3</v>
      </c>
      <c r="B2" s="1">
        <v>10</v>
      </c>
      <c r="C2" s="1">
        <v>5</v>
      </c>
      <c r="D2" s="1">
        <v>90</v>
      </c>
      <c r="E2" s="1">
        <v>5</v>
      </c>
    </row>
    <row r="3" spans="1:5" x14ac:dyDescent="0.2">
      <c r="A3" s="1" t="s">
        <v>75</v>
      </c>
      <c r="B3" s="1">
        <v>30</v>
      </c>
      <c r="C3" s="1">
        <v>5</v>
      </c>
      <c r="D3" s="1">
        <v>70</v>
      </c>
      <c r="E3" s="1">
        <v>5</v>
      </c>
    </row>
    <row r="4" spans="1:5" x14ac:dyDescent="0.2">
      <c r="A4" s="1" t="s">
        <v>76</v>
      </c>
      <c r="B4" s="1">
        <v>65</v>
      </c>
      <c r="C4" s="1">
        <v>10</v>
      </c>
      <c r="D4" s="1">
        <v>35</v>
      </c>
      <c r="E4" s="1">
        <v>10</v>
      </c>
    </row>
    <row r="7" spans="1:5" x14ac:dyDescent="0.2">
      <c r="A7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consumer</vt:lpstr>
      <vt:lpstr>covariate</vt:lpstr>
      <vt:lpstr>offset</vt:lpstr>
      <vt:lpstr>source_data</vt:lpstr>
      <vt:lpstr>source_isotopic</vt:lpstr>
      <vt:lpstr>components</vt:lpstr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Marshall</dc:creator>
  <dc:description/>
  <cp:lastModifiedBy>Peter Marshall</cp:lastModifiedBy>
  <cp:revision>3</cp:revision>
  <dcterms:created xsi:type="dcterms:W3CDTF">2026-03-29T15:56:05Z</dcterms:created>
  <dcterms:modified xsi:type="dcterms:W3CDTF">2026-04-23T08:01:30Z</dcterms:modified>
  <dc:language>en-US</dc:language>
</cp:coreProperties>
</file>